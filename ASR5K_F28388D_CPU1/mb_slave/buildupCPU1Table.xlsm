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dy_chen\Desktop\Git\GW\GW_ASR5K_F28384D\Code\ASR5K_F28388D_CPU1\mb_slave\"/>
    </mc:Choice>
  </mc:AlternateContent>
  <bookViews>
    <workbookView xWindow="-105" yWindow="-105" windowWidth="23250" windowHeight="12570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1" l="1"/>
  <c r="E3" i="1"/>
  <c r="E18" i="1"/>
  <c r="E7" i="1" s="1"/>
  <c r="E5" i="1"/>
  <c r="E9" i="1"/>
  <c r="E6" i="1" s="1"/>
  <c r="E8" i="1" l="1"/>
  <c r="D29" i="1"/>
  <c r="D28" i="1"/>
</calcChain>
</file>

<file path=xl/sharedStrings.xml><?xml version="1.0" encoding="utf-8"?>
<sst xmlns="http://schemas.openxmlformats.org/spreadsheetml/2006/main" count="84" uniqueCount="61">
  <si>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</si>
  <si>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</si>
  <si>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</si>
  <si>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</si>
  <si>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</si>
  <si>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</si>
  <si>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</si>
  <si>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</si>
  <si>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</si>
  <si>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</si>
  <si>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</si>
  <si>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</si>
  <si>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</si>
  <si>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</si>
  <si>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</si>
  <si>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</si>
  <si>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</si>
  <si>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T_Q15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</si>
  <si>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</si>
  <si>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</si>
  <si>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</si>
  <si>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</si>
  <si>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</si>
  <si>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</si>
  <si>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</si>
  <si>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</si>
  <si>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</si>
  <si>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</si>
  <si>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</si>
  <si>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</si>
  <si>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</si>
  <si>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Q15 Maximum</t>
    <phoneticPr fontId="1" type="noConversion"/>
  </si>
  <si>
    <t>Eeprom Group</t>
    <phoneticPr fontId="1" type="noConversion"/>
  </si>
  <si>
    <t>Heartbeat C28</t>
    <phoneticPr fontId="1" type="noConversion"/>
  </si>
  <si>
    <t>Heartbeat CLA</t>
    <phoneticPr fontId="1" type="noConversion"/>
  </si>
  <si>
    <t>sDrv.fgStatus</t>
    <phoneticPr fontId="1" type="noConversion"/>
  </si>
  <si>
    <t>sDrv.fgError</t>
    <phoneticPr fontId="1" type="noConversion"/>
  </si>
  <si>
    <t>sDrv.u32HeartBeat</t>
    <phoneticPr fontId="1" type="noConversion"/>
  </si>
  <si>
    <t>sCLA.u32HeartBeat</t>
    <phoneticPr fontId="1" type="noConversion"/>
  </si>
  <si>
    <t>Version</t>
    <phoneticPr fontId="1" type="noConversion"/>
  </si>
  <si>
    <t>FW_VERSION</t>
    <phoneticPr fontId="1" type="noConversion"/>
  </si>
  <si>
    <t>Main Control Status</t>
    <phoneticPr fontId="1" type="noConversion"/>
  </si>
  <si>
    <t>Main Error Status</t>
    <phoneticPr fontId="1" type="noConversion"/>
  </si>
  <si>
    <t>Machine Length</t>
    <phoneticPr fontId="1" type="noConversion"/>
  </si>
  <si>
    <t>User Parameter Length</t>
    <phoneticPr fontId="1" type="noConversion"/>
  </si>
  <si>
    <t>Advance Parameter Length</t>
    <phoneticPr fontId="1" type="noConversion"/>
  </si>
  <si>
    <t>Advance Password</t>
    <phoneticPr fontId="1" type="noConversion"/>
  </si>
  <si>
    <t>Product ID</t>
    <phoneticPr fontId="1" type="noConversion"/>
  </si>
  <si>
    <t>Part ID</t>
    <phoneticPr fontId="1" type="noConversion"/>
  </si>
  <si>
    <t>Module ID</t>
    <phoneticPr fontId="1" type="noConversion"/>
  </si>
  <si>
    <t>Serial Number</t>
    <phoneticPr fontId="1" type="noConversion"/>
  </si>
  <si>
    <t>Main Error Mark</t>
    <phoneticPr fontId="1" type="noConversion"/>
  </si>
  <si>
    <t>Main Error Result</t>
    <phoneticPr fontId="1" type="noConversion"/>
  </si>
  <si>
    <t>sDrv.fgErrorMark.all</t>
    <phoneticPr fontId="1" type="noConversion"/>
  </si>
  <si>
    <t>sDrv.fgErrorResult.all</t>
    <phoneticPr fontId="1" type="noConversion"/>
  </si>
  <si>
    <t>Build Date</t>
  </si>
  <si>
    <t>FW_BUILDDATE</t>
    <phoneticPr fontId="1" type="noConversion"/>
  </si>
  <si>
    <t>// 1: PBL</t>
    <phoneticPr fontId="1" type="noConversion"/>
  </si>
  <si>
    <t>// Type: 00:Invalid, 01:Test, 10:Valid, 11:Normal.</t>
    <phoneticPr fontId="1" type="noConversion"/>
  </si>
  <si>
    <t xml:space="preserve">// Module: 0:Invalid, 3:System, 7:Buck, 10:DAB, 13:PFC. </t>
    <phoneticPr fontId="1" type="noConversion"/>
  </si>
  <si>
    <t>Reserved 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</si>
</sst>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4" xfId="0" applyBorder="1">
      <alignment vertical="center"/>
    </xf>
    <xf numFmtId="49" fontId="3" fillId="0" borderId="0" xfId="0" applyNumberFormat="1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49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200025</xdr:rowOff>
        </xdr:from>
        <xdr:to>
          <xdr:col>1</xdr:col>
          <xdr:colOff>1590675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J29"/>
  <sheetViews>
    <sheetView tabSelected="1" zoomScaleNormal="100" workbookViewId="0">
      <selection activeCell="G16" sqref="G16"/>
    </sheetView>
  </sheetViews>
  <sheetFormatPr defaultRowHeight="16.5" x14ac:dyDescent="0.25"/>
  <cols>
    <col min="1" max="1" width="7.125" customWidth="1"/>
    <col min="2" max="2" width="33.875" customWidth="1"/>
    <col min="3" max="3" width="10.25" style="1" customWidth="1"/>
    <col min="4" max="4" width="14.375" style="1" customWidth="1"/>
    <col min="5" max="5" width="16.625" style="1" bestFit="1" customWidth="1"/>
    <col min="6" max="6" width="9" style="6"/>
    <col min="7" max="7" width="45.25" customWidth="1"/>
    <col min="8" max="8" width="13.75" style="8" bestFit="1" customWidth="1"/>
    <col min="9" max="9" width="14.625" style="8" customWidth="1"/>
    <col min="10" max="10" width="30" bestFit="1" customWidth="1"/>
  </cols>
  <sheetData>
    <row r="1" spans="1:10" ht="73.5" customHeight="1" x14ac:dyDescent="0.25"/>
    <row r="2" spans="1:10" s="3" customFormat="1" ht="17.25" thickBot="1" x14ac:dyDescent="0.3">
      <c r="A2" s="3" t="s">
        <v>2</v>
      </c>
      <c r="B2" s="3" t="s">
        <v>3</v>
      </c>
      <c r="C2" s="4" t="s">
        <v>5</v>
      </c>
      <c r="D2" s="4" t="s">
        <v>4</v>
      </c>
      <c r="E2" s="4" t="s">
        <v>21</v>
      </c>
      <c r="F2" s="6" t="s">
        <v>1</v>
      </c>
      <c r="G2" s="5" t="s">
        <v>16</v>
      </c>
      <c r="H2" s="5" t="s">
        <v>31</v>
      </c>
      <c r="I2" s="5" t="s">
        <v>32</v>
      </c>
      <c r="J2" s="3" t="s">
        <v>0</v>
      </c>
    </row>
    <row r="3" spans="1:10" x14ac:dyDescent="0.25">
      <c r="A3" s="9">
        <v>0</v>
      </c>
      <c r="B3" s="10" t="s">
        <v>22</v>
      </c>
      <c r="C3" s="11" t="s">
        <v>9</v>
      </c>
      <c r="D3" s="12">
        <v>1</v>
      </c>
      <c r="E3" s="13">
        <f>E11</f>
        <v>2423</v>
      </c>
      <c r="F3" s="6">
        <v>0</v>
      </c>
    </row>
    <row r="4" spans="1:10" x14ac:dyDescent="0.25">
      <c r="A4" s="14"/>
      <c r="B4" t="s">
        <v>23</v>
      </c>
      <c r="C4" s="15" t="s">
        <v>9</v>
      </c>
      <c r="D4" s="7">
        <v>1</v>
      </c>
      <c r="E4" s="16">
        <v>4</v>
      </c>
      <c r="F4" s="6">
        <v>1</v>
      </c>
    </row>
    <row r="5" spans="1:10" x14ac:dyDescent="0.25">
      <c r="A5" s="14"/>
      <c r="B5" t="s">
        <v>26</v>
      </c>
      <c r="C5" s="15" t="s">
        <v>9</v>
      </c>
      <c r="D5" s="7">
        <v>1</v>
      </c>
      <c r="E5" s="16">
        <f>F9</f>
        <v>6</v>
      </c>
      <c r="F5" s="6">
        <v>2</v>
      </c>
    </row>
    <row r="6" spans="1:10" x14ac:dyDescent="0.25">
      <c r="A6" s="14"/>
      <c r="B6" t="s">
        <v>24</v>
      </c>
      <c r="C6" s="15" t="s">
        <v>9</v>
      </c>
      <c r="D6" s="7">
        <v>1</v>
      </c>
      <c r="E6" s="16">
        <f>F9+E9</f>
        <v>16</v>
      </c>
      <c r="F6" s="6">
        <v>3</v>
      </c>
    </row>
    <row r="7" spans="1:10" x14ac:dyDescent="0.25">
      <c r="A7" s="14"/>
      <c r="B7" t="s">
        <v>25</v>
      </c>
      <c r="C7" s="15" t="s">
        <v>9</v>
      </c>
      <c r="D7" s="7">
        <v>1</v>
      </c>
      <c r="E7" s="16">
        <f>F18+E18</f>
        <v>21</v>
      </c>
      <c r="F7" s="6">
        <v>4</v>
      </c>
    </row>
    <row r="8" spans="1:10" ht="17.25" thickBot="1" x14ac:dyDescent="0.3">
      <c r="A8" s="17"/>
      <c r="B8" s="18" t="s">
        <v>27</v>
      </c>
      <c r="C8" s="19" t="s">
        <v>9</v>
      </c>
      <c r="D8" s="20">
        <v>1</v>
      </c>
      <c r="E8" s="21">
        <f>SUM(E3:E7)</f>
        <v>2470</v>
      </c>
      <c r="F8" s="6">
        <v>5</v>
      </c>
    </row>
    <row r="9" spans="1:10" x14ac:dyDescent="0.25">
      <c r="A9" s="9"/>
      <c r="B9" s="10" t="s">
        <v>43</v>
      </c>
      <c r="C9" s="11" t="s">
        <v>9</v>
      </c>
      <c r="D9" s="12">
        <v>1</v>
      </c>
      <c r="E9" s="13">
        <f>SUM(D9:D17)</f>
        <v>10</v>
      </c>
      <c r="F9" s="6">
        <v>6</v>
      </c>
    </row>
    <row r="10" spans="1:10" x14ac:dyDescent="0.25">
      <c r="A10" s="14"/>
      <c r="B10" t="s">
        <v>28</v>
      </c>
      <c r="C10" s="15" t="s">
        <v>8</v>
      </c>
      <c r="D10" s="7">
        <v>1</v>
      </c>
      <c r="E10" s="16">
        <v>886</v>
      </c>
      <c r="F10" s="6">
        <v>7</v>
      </c>
    </row>
    <row r="11" spans="1:10" x14ac:dyDescent="0.25">
      <c r="A11" s="14"/>
      <c r="B11" t="s">
        <v>29</v>
      </c>
      <c r="C11" s="15" t="s">
        <v>8</v>
      </c>
      <c r="D11" s="7">
        <v>1</v>
      </c>
      <c r="E11" s="16">
        <v>2423</v>
      </c>
      <c r="F11" s="6">
        <v>8</v>
      </c>
    </row>
    <row r="12" spans="1:10" x14ac:dyDescent="0.25">
      <c r="A12" s="14"/>
      <c r="B12" t="s">
        <v>47</v>
      </c>
      <c r="C12" s="15" t="s">
        <v>8</v>
      </c>
      <c r="D12" s="7">
        <v>1</v>
      </c>
      <c r="E12" s="16">
        <v>1</v>
      </c>
      <c r="F12" s="6">
        <v>9</v>
      </c>
      <c r="J12" t="s">
        <v>57</v>
      </c>
    </row>
    <row r="13" spans="1:10" x14ac:dyDescent="0.25">
      <c r="A13" s="14"/>
      <c r="B13" t="s">
        <v>48</v>
      </c>
      <c r="C13" s="15" t="s">
        <v>8</v>
      </c>
      <c r="D13" s="7">
        <v>1</v>
      </c>
      <c r="E13" s="16">
        <v>3</v>
      </c>
      <c r="F13" s="6">
        <v>10</v>
      </c>
      <c r="J13" t="s">
        <v>58</v>
      </c>
    </row>
    <row r="14" spans="1:10" x14ac:dyDescent="0.25">
      <c r="A14" s="14"/>
      <c r="B14" t="s">
        <v>49</v>
      </c>
      <c r="C14" s="15" t="s">
        <v>8</v>
      </c>
      <c r="D14" s="7">
        <v>1</v>
      </c>
      <c r="E14" s="16">
        <v>0</v>
      </c>
      <c r="F14" s="6">
        <v>11</v>
      </c>
      <c r="J14" t="s">
        <v>59</v>
      </c>
    </row>
    <row r="15" spans="1:10" x14ac:dyDescent="0.25">
      <c r="A15" s="14"/>
      <c r="B15" t="s">
        <v>50</v>
      </c>
      <c r="C15" s="15" t="s">
        <v>30</v>
      </c>
      <c r="D15" s="7">
        <v>2</v>
      </c>
      <c r="E15" s="16">
        <v>0</v>
      </c>
      <c r="F15" s="6">
        <v>12</v>
      </c>
    </row>
    <row r="16" spans="1:10" x14ac:dyDescent="0.25">
      <c r="A16" s="14"/>
      <c r="B16" t="s">
        <v>39</v>
      </c>
      <c r="C16" s="15" t="s">
        <v>8</v>
      </c>
      <c r="D16" s="7">
        <v>1</v>
      </c>
      <c r="E16" s="16" t="s">
        <v>40</v>
      </c>
      <c r="F16" s="6">
        <v>14</v>
      </c>
    </row>
    <row r="17" spans="1:7" ht="17.25" thickBot="1" x14ac:dyDescent="0.3">
      <c r="A17" s="14"/>
      <c r="B17" t="s">
        <v>55</v>
      </c>
      <c r="C17" s="15" t="s">
        <v>8</v>
      </c>
      <c r="D17" s="7">
        <v>1</v>
      </c>
      <c r="E17" s="16" t="s">
        <v>56</v>
      </c>
      <c r="F17" s="6">
        <v>15</v>
      </c>
    </row>
    <row r="18" spans="1:7" x14ac:dyDescent="0.25">
      <c r="A18" s="9"/>
      <c r="B18" s="10" t="s">
        <v>44</v>
      </c>
      <c r="C18" s="11" t="s">
        <v>9</v>
      </c>
      <c r="D18" s="12">
        <v>1</v>
      </c>
      <c r="E18" s="13">
        <f>SUM(D18:D22)</f>
        <v>5</v>
      </c>
      <c r="F18" s="6">
        <v>16</v>
      </c>
    </row>
    <row r="19" spans="1:7" x14ac:dyDescent="0.25">
      <c r="A19" s="14"/>
      <c r="B19" t="s">
        <v>41</v>
      </c>
      <c r="C19" s="15" t="s">
        <v>9</v>
      </c>
      <c r="D19" s="7">
        <v>1</v>
      </c>
      <c r="E19" s="16"/>
      <c r="F19" s="5">
        <v>17</v>
      </c>
      <c r="G19" t="s">
        <v>35</v>
      </c>
    </row>
    <row r="20" spans="1:7" x14ac:dyDescent="0.25">
      <c r="A20" s="14"/>
      <c r="B20" t="s">
        <v>42</v>
      </c>
      <c r="C20" s="15" t="s">
        <v>9</v>
      </c>
      <c r="D20" s="7">
        <v>1</v>
      </c>
      <c r="E20" s="16"/>
      <c r="F20" s="5">
        <v>18</v>
      </c>
      <c r="G20" t="s">
        <v>36</v>
      </c>
    </row>
    <row r="21" spans="1:7" x14ac:dyDescent="0.25">
      <c r="A21" s="14"/>
      <c r="B21" t="s">
        <v>51</v>
      </c>
      <c r="C21" s="15" t="s">
        <v>9</v>
      </c>
      <c r="D21" s="7">
        <v>1</v>
      </c>
      <c r="E21" s="16"/>
      <c r="F21" s="5">
        <v>19</v>
      </c>
      <c r="G21" t="s">
        <v>53</v>
      </c>
    </row>
    <row r="22" spans="1:7" x14ac:dyDescent="0.25">
      <c r="A22" s="14"/>
      <c r="B22" t="s">
        <v>52</v>
      </c>
      <c r="C22" s="15" t="s">
        <v>9</v>
      </c>
      <c r="D22" s="7">
        <v>1</v>
      </c>
      <c r="E22" s="16"/>
      <c r="F22" s="5">
        <v>20</v>
      </c>
      <c r="G22" t="s">
        <v>54</v>
      </c>
    </row>
    <row r="23" spans="1:7" ht="17.25" thickBot="1" x14ac:dyDescent="0.3">
      <c r="A23" s="14"/>
      <c r="B23" t="s">
        <v>60</v>
      </c>
      <c r="C23" s="15" t="s">
        <v>8</v>
      </c>
      <c r="D23" s="7">
        <v>1</v>
      </c>
      <c r="E23" s="16"/>
      <c r="F23" s="6">
        <v>21</v>
      </c>
    </row>
    <row r="24" spans="1:7" x14ac:dyDescent="0.25">
      <c r="A24" s="9"/>
      <c r="B24" s="10" t="s">
        <v>45</v>
      </c>
      <c r="C24" s="11" t="s">
        <v>9</v>
      </c>
      <c r="D24" s="12">
        <v>1</v>
      </c>
      <c r="E24" s="13">
        <f>SUM(D24:D27)</f>
        <v>6</v>
      </c>
      <c r="F24" s="6">
        <v>22</v>
      </c>
    </row>
    <row r="25" spans="1:7" x14ac:dyDescent="0.25">
      <c r="A25" s="14"/>
      <c r="B25" t="s">
        <v>46</v>
      </c>
      <c r="C25" s="15" t="s">
        <v>9</v>
      </c>
      <c r="D25" s="7">
        <v>1</v>
      </c>
      <c r="E25" s="16">
        <v>0</v>
      </c>
      <c r="F25" s="6">
        <v>23</v>
      </c>
    </row>
    <row r="26" spans="1:7" x14ac:dyDescent="0.25">
      <c r="A26" s="14"/>
      <c r="B26" t="s">
        <v>33</v>
      </c>
      <c r="C26" s="15" t="s">
        <v>30</v>
      </c>
      <c r="D26" s="7">
        <v>2</v>
      </c>
      <c r="E26" s="16"/>
      <c r="F26" s="6">
        <v>24</v>
      </c>
      <c r="G26" t="s">
        <v>37</v>
      </c>
    </row>
    <row r="27" spans="1:7" x14ac:dyDescent="0.25">
      <c r="A27" s="14"/>
      <c r="B27" t="s">
        <v>34</v>
      </c>
      <c r="C27" s="15" t="s">
        <v>30</v>
      </c>
      <c r="D27" s="7">
        <v>2</v>
      </c>
      <c r="E27" s="16"/>
      <c r="F27" s="6">
        <v>26</v>
      </c>
      <c r="G27" t="s">
        <v>38</v>
      </c>
    </row>
    <row r="28" spans="1:7" x14ac:dyDescent="0.25">
      <c r="D28" s="7" t="str">
        <f t="shared" ref="D28:D29" si="0">IF(0&lt;LEN(C28),IF("TR" = RIGHT(C28,2), "", IF("16" = RIGHT(C28,2), 1, IF("32" = RIGHT(C28, 2), 2, 4))), "")</f>
        <v/>
      </c>
      <c r="E28" s="7"/>
    </row>
    <row r="29" spans="1:7" x14ac:dyDescent="0.25">
      <c r="D29" s="7" t="str">
        <f t="shared" si="0"/>
        <v/>
      </c>
      <c r="E29" s="7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r:id="rId5">
            <anchor moveWithCells="1">
              <from>
                <xdr:col>1</xdr:col>
                <xdr:colOff>0</xdr:colOff>
                <xdr:row>0</xdr:row>
                <xdr:rowOff>200025</xdr:rowOff>
              </from>
              <to>
                <xdr:col>1</xdr:col>
                <xdr:colOff>1590675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Typedef!$A$2:$A$20</xm:f>
          </x14:formula1>
          <xm:sqref>C3:C25</xm:sqref>
        </x14:dataValidation>
        <x14:dataValidation type="list" allowBlank="1" showInputMessage="1" showErrorMessage="1">
          <x14:formula1>
            <xm:f>Typedef!$A$2:$A$50</xm:f>
          </x14:formula1>
          <xm:sqref>C10:C17 C23</xm:sqref>
        </x14:dataValidation>
        <x14:dataValidation type="list" allowBlank="1" showInputMessage="1" showErrorMessage="1">
          <x14:formula1>
            <xm:f>Typedef!$A$2:$A$30</xm:f>
          </x14:formula1>
          <xm:sqref>C26:C27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18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19</v>
      </c>
    </row>
    <row r="9" spans="1:2" x14ac:dyDescent="0.25">
      <c r="A9" t="s">
        <v>15</v>
      </c>
      <c r="B9" s="2" t="s">
        <v>20</v>
      </c>
    </row>
    <row r="10" spans="1:2" x14ac:dyDescent="0.25">
      <c r="A10" t="s">
        <v>17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陳彥百</cp:lastModifiedBy>
  <dcterms:created xsi:type="dcterms:W3CDTF">2020-09-30T01:47:31Z</dcterms:created>
  <dcterms:modified xsi:type="dcterms:W3CDTF">2026-01-29T09:27:54Z</dcterms:modified>
</cp:coreProperties>
</file>