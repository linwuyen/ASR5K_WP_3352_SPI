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_chen\Desktop\Git\GW\GW_ASR5K_F28384D\Code\ASR5K_F28388D_CPU2\mb_slave\"/>
    </mc:Choice>
  </mc:AlternateContent>
  <bookViews>
    <workbookView xWindow="-120" yWindow="-120" windowWidth="29040" windowHeight="1572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1" l="1"/>
  <c r="E17" i="1"/>
  <c r="E7" i="1" s="1"/>
  <c r="E9" i="1"/>
  <c r="E6" i="1" s="1"/>
  <c r="E5" i="1"/>
  <c r="E3" i="1"/>
  <c r="E8" i="1" l="1"/>
  <c r="D47" i="1" l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</calcChain>
</file>

<file path=xl/sharedStrings.xml><?xml version="1.0" encoding="utf-8"?>
<sst xmlns="http://schemas.openxmlformats.org/spreadsheetml/2006/main" count="81" uniqueCount="59">
  <si>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</si>
  <si>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</si>
  <si>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</si>
  <si>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</si>
  <si>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</si>
  <si>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</si>
  <si>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</si>
  <si>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</si>
  <si>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</si>
  <si>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</si>
  <si>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</si>
  <si>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</si>
  <si>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</si>
  <si>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</si>
  <si>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</si>
  <si>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</si>
  <si>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</si>
  <si>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T_Q15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</si>
  <si>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</si>
  <si>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</si>
  <si>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</si>
  <si>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</si>
  <si>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</si>
  <si>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</si>
  <si>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</si>
  <si>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</si>
  <si>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</si>
  <si>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</si>
  <si>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</si>
  <si>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</si>
  <si>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</si>
  <si>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</si>
  <si>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</si>
  <si>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</si>
  <si>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Heartbeat C28</t>
    <phoneticPr fontId="1" type="noConversion"/>
  </si>
  <si>
    <t>Heartbeat CLA</t>
    <phoneticPr fontId="1" type="noConversion"/>
  </si>
  <si>
    <t>sDrv.fgStatus</t>
    <phoneticPr fontId="1" type="noConversion"/>
  </si>
  <si>
    <t>sDrv.u32HeartBeat</t>
    <phoneticPr fontId="1" type="noConversion"/>
  </si>
  <si>
    <t>sCLA.u32HeartBeat</t>
    <phoneticPr fontId="1" type="noConversion"/>
  </si>
  <si>
    <t>sDrv.fgError</t>
    <phoneticPr fontId="1" type="noConversion"/>
  </si>
  <si>
    <t>Version</t>
    <phoneticPr fontId="1" type="noConversion"/>
  </si>
  <si>
    <t>Machine Length</t>
    <phoneticPr fontId="1" type="noConversion"/>
  </si>
  <si>
    <t>Product ID</t>
    <phoneticPr fontId="1" type="noConversion"/>
  </si>
  <si>
    <t>// 1: PBL</t>
    <phoneticPr fontId="1" type="noConversion"/>
  </si>
  <si>
    <t>Part ID</t>
    <phoneticPr fontId="1" type="noConversion"/>
  </si>
  <si>
    <t>// 1: PFC, 2: DAB, 3:BUCK</t>
    <phoneticPr fontId="1" type="noConversion"/>
  </si>
  <si>
    <t>Module ID</t>
    <phoneticPr fontId="1" type="noConversion"/>
  </si>
  <si>
    <t>FW_VERSION</t>
    <phoneticPr fontId="1" type="noConversion"/>
  </si>
  <si>
    <t>FW_BUILDDATE</t>
    <phoneticPr fontId="1" type="noConversion"/>
  </si>
  <si>
    <t>User Parameter Length</t>
    <phoneticPr fontId="1" type="noConversion"/>
  </si>
  <si>
    <t>Main Control Status</t>
    <phoneticPr fontId="1" type="noConversion"/>
  </si>
  <si>
    <t>Main Error Status</t>
    <phoneticPr fontId="1" type="noConversion"/>
  </si>
  <si>
    <t>Advance Parameter Length</t>
    <phoneticPr fontId="1" type="noConversion"/>
  </si>
  <si>
    <t>Advance Password</t>
    <phoneticPr fontId="1" type="noConversion"/>
  </si>
  <si>
    <t>Main Error Mask</t>
    <phoneticPr fontId="1" type="noConversion"/>
  </si>
  <si>
    <t>Main Error Result</t>
    <phoneticPr fontId="1" type="noConversion"/>
  </si>
  <si>
    <t>sDrv.fgErrorResult.all</t>
    <phoneticPr fontId="1" type="noConversion"/>
  </si>
  <si>
    <t>sDrv.fgErrorMark.all</t>
    <phoneticPr fontId="1" type="noConversion"/>
  </si>
  <si>
    <t>Reserverd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</si>
</sst>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3" fillId="0" borderId="5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9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200025</xdr:rowOff>
        </xdr:from>
        <xdr:to>
          <xdr:col>1</xdr:col>
          <xdr:colOff>1590675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47"/>
  <sheetViews>
    <sheetView tabSelected="1" zoomScaleNormal="100" workbookViewId="0">
      <selection activeCell="G22" sqref="G22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31.125" bestFit="1" customWidth="1"/>
    <col min="8" max="8" width="13.75" style="9" bestFit="1" customWidth="1"/>
    <col min="9" max="9" width="14.625" style="9" customWidth="1"/>
    <col min="10" max="10" width="30" style="9" bestFit="1" customWidth="1"/>
  </cols>
  <sheetData>
    <row r="1" spans="1:10" ht="73.5" customHeight="1" x14ac:dyDescent="0.25"/>
    <row r="2" spans="1:10" s="3" customFormat="1" ht="17.25" thickBot="1" x14ac:dyDescent="0.3">
      <c r="A2" s="3" t="s">
        <v>2</v>
      </c>
      <c r="B2" s="3" t="s">
        <v>3</v>
      </c>
      <c r="C2" s="4" t="s">
        <v>5</v>
      </c>
      <c r="D2" s="4" t="s">
        <v>4</v>
      </c>
      <c r="E2" s="4" t="s">
        <v>21</v>
      </c>
      <c r="F2" s="7" t="s">
        <v>1</v>
      </c>
      <c r="G2" s="5" t="s">
        <v>16</v>
      </c>
      <c r="H2" s="5" t="s">
        <v>32</v>
      </c>
      <c r="I2" s="5" t="s">
        <v>33</v>
      </c>
      <c r="J2" s="5" t="s">
        <v>0</v>
      </c>
    </row>
    <row r="3" spans="1:10" x14ac:dyDescent="0.25">
      <c r="A3" s="10">
        <v>0</v>
      </c>
      <c r="B3" s="11" t="s">
        <v>22</v>
      </c>
      <c r="C3" s="12" t="s">
        <v>9</v>
      </c>
      <c r="D3" s="13">
        <v>1</v>
      </c>
      <c r="E3" s="14">
        <f>E11</f>
        <v>2423</v>
      </c>
      <c r="F3" s="7">
        <v>0</v>
      </c>
      <c r="J3"/>
    </row>
    <row r="4" spans="1:10" x14ac:dyDescent="0.25">
      <c r="A4" s="15"/>
      <c r="B4" t="s">
        <v>23</v>
      </c>
      <c r="C4" s="6" t="s">
        <v>9</v>
      </c>
      <c r="D4" s="8">
        <v>1</v>
      </c>
      <c r="E4" s="16">
        <v>4</v>
      </c>
      <c r="F4" s="7">
        <v>1</v>
      </c>
      <c r="J4"/>
    </row>
    <row r="5" spans="1:10" x14ac:dyDescent="0.25">
      <c r="A5" s="15"/>
      <c r="B5" t="s">
        <v>26</v>
      </c>
      <c r="C5" s="6" t="s">
        <v>9</v>
      </c>
      <c r="D5" s="8">
        <v>1</v>
      </c>
      <c r="E5" s="16">
        <f>F9</f>
        <v>6</v>
      </c>
      <c r="F5" s="7">
        <v>2</v>
      </c>
      <c r="J5"/>
    </row>
    <row r="6" spans="1:10" x14ac:dyDescent="0.25">
      <c r="A6" s="15"/>
      <c r="B6" t="s">
        <v>24</v>
      </c>
      <c r="C6" s="6" t="s">
        <v>9</v>
      </c>
      <c r="D6" s="8">
        <v>1</v>
      </c>
      <c r="E6" s="16">
        <f>F9+E9</f>
        <v>14</v>
      </c>
      <c r="F6" s="7">
        <v>3</v>
      </c>
      <c r="J6"/>
    </row>
    <row r="7" spans="1:10" x14ac:dyDescent="0.25">
      <c r="A7" s="15"/>
      <c r="B7" t="s">
        <v>25</v>
      </c>
      <c r="C7" s="6" t="s">
        <v>9</v>
      </c>
      <c r="D7" s="8">
        <v>1</v>
      </c>
      <c r="E7" s="16">
        <f>F17+E17</f>
        <v>20</v>
      </c>
      <c r="F7" s="7">
        <v>4</v>
      </c>
      <c r="J7"/>
    </row>
    <row r="8" spans="1:10" ht="17.25" thickBot="1" x14ac:dyDescent="0.3">
      <c r="A8" s="17"/>
      <c r="B8" s="18" t="s">
        <v>27</v>
      </c>
      <c r="C8" s="19" t="s">
        <v>9</v>
      </c>
      <c r="D8" s="20">
        <v>1</v>
      </c>
      <c r="E8" s="21">
        <f>SUM(E3:E7)</f>
        <v>2467</v>
      </c>
      <c r="F8" s="7">
        <v>5</v>
      </c>
      <c r="J8"/>
    </row>
    <row r="9" spans="1:10" x14ac:dyDescent="0.25">
      <c r="A9" s="10"/>
      <c r="B9" s="11" t="s">
        <v>41</v>
      </c>
      <c r="C9" s="12" t="s">
        <v>9</v>
      </c>
      <c r="D9" s="13">
        <v>1</v>
      </c>
      <c r="E9" s="14">
        <f>SUM(D9:D16)</f>
        <v>8</v>
      </c>
      <c r="F9" s="7">
        <v>6</v>
      </c>
      <c r="J9"/>
    </row>
    <row r="10" spans="1:10" x14ac:dyDescent="0.25">
      <c r="A10" s="15"/>
      <c r="B10" t="s">
        <v>28</v>
      </c>
      <c r="C10" s="6" t="s">
        <v>8</v>
      </c>
      <c r="D10" s="8">
        <v>1</v>
      </c>
      <c r="E10" s="16">
        <v>886</v>
      </c>
      <c r="F10" s="7">
        <v>7</v>
      </c>
      <c r="J10"/>
    </row>
    <row r="11" spans="1:10" x14ac:dyDescent="0.25">
      <c r="A11" s="15"/>
      <c r="B11" t="s">
        <v>29</v>
      </c>
      <c r="C11" s="6" t="s">
        <v>8</v>
      </c>
      <c r="D11" s="8">
        <v>1</v>
      </c>
      <c r="E11" s="16">
        <v>2423</v>
      </c>
      <c r="F11" s="7">
        <v>8</v>
      </c>
      <c r="J11"/>
    </row>
    <row r="12" spans="1:10" x14ac:dyDescent="0.25">
      <c r="A12" s="15"/>
      <c r="B12" t="s">
        <v>42</v>
      </c>
      <c r="C12" s="6" t="s">
        <v>8</v>
      </c>
      <c r="D12" s="8">
        <v>1</v>
      </c>
      <c r="E12" s="16">
        <v>1</v>
      </c>
      <c r="F12" s="7">
        <v>9</v>
      </c>
      <c r="J12" t="s">
        <v>43</v>
      </c>
    </row>
    <row r="13" spans="1:10" x14ac:dyDescent="0.25">
      <c r="A13" s="15"/>
      <c r="B13" t="s">
        <v>44</v>
      </c>
      <c r="C13" s="6" t="s">
        <v>8</v>
      </c>
      <c r="D13" s="8">
        <v>1</v>
      </c>
      <c r="E13" s="16">
        <v>2</v>
      </c>
      <c r="F13" s="7">
        <v>10</v>
      </c>
      <c r="J13" t="s">
        <v>45</v>
      </c>
    </row>
    <row r="14" spans="1:10" x14ac:dyDescent="0.25">
      <c r="A14" s="15"/>
      <c r="B14" t="s">
        <v>46</v>
      </c>
      <c r="C14" s="6" t="s">
        <v>8</v>
      </c>
      <c r="D14" s="8">
        <v>1</v>
      </c>
      <c r="E14" s="16">
        <v>0</v>
      </c>
      <c r="F14" s="7">
        <v>11</v>
      </c>
      <c r="J14"/>
    </row>
    <row r="15" spans="1:10" x14ac:dyDescent="0.25">
      <c r="A15" s="15"/>
      <c r="B15" t="s">
        <v>40</v>
      </c>
      <c r="C15" s="6" t="s">
        <v>8</v>
      </c>
      <c r="D15" s="8">
        <v>1</v>
      </c>
      <c r="E15" s="16" t="s">
        <v>47</v>
      </c>
      <c r="F15" s="7">
        <v>12</v>
      </c>
      <c r="J15"/>
    </row>
    <row r="16" spans="1:10" ht="17.25" thickBot="1" x14ac:dyDescent="0.3">
      <c r="A16" s="17"/>
      <c r="B16" s="18" t="s">
        <v>31</v>
      </c>
      <c r="C16" s="19" t="s">
        <v>8</v>
      </c>
      <c r="D16" s="20">
        <v>1</v>
      </c>
      <c r="E16" s="21" t="s">
        <v>48</v>
      </c>
      <c r="F16" s="7">
        <v>13</v>
      </c>
      <c r="J16"/>
    </row>
    <row r="17" spans="1:10" x14ac:dyDescent="0.25">
      <c r="A17" s="10"/>
      <c r="B17" s="11" t="s">
        <v>49</v>
      </c>
      <c r="C17" s="12" t="s">
        <v>9</v>
      </c>
      <c r="D17" s="13">
        <v>1</v>
      </c>
      <c r="E17" s="14">
        <f>SUM(D17:D22)</f>
        <v>6</v>
      </c>
      <c r="F17" s="7">
        <v>14</v>
      </c>
      <c r="J17"/>
    </row>
    <row r="18" spans="1:10" x14ac:dyDescent="0.25">
      <c r="A18" s="15"/>
      <c r="B18" t="s">
        <v>50</v>
      </c>
      <c r="C18" s="6" t="s">
        <v>9</v>
      </c>
      <c r="D18" s="8">
        <v>1</v>
      </c>
      <c r="E18" s="16"/>
      <c r="F18" s="5">
        <v>15</v>
      </c>
      <c r="G18" t="s">
        <v>36</v>
      </c>
    </row>
    <row r="19" spans="1:10" x14ac:dyDescent="0.25">
      <c r="A19" s="15"/>
      <c r="B19" t="s">
        <v>51</v>
      </c>
      <c r="C19" s="6" t="s">
        <v>9</v>
      </c>
      <c r="D19" s="8">
        <v>1</v>
      </c>
      <c r="E19" s="16"/>
      <c r="F19" s="5">
        <v>16</v>
      </c>
      <c r="G19" t="s">
        <v>39</v>
      </c>
    </row>
    <row r="20" spans="1:10" x14ac:dyDescent="0.25">
      <c r="A20" s="15"/>
      <c r="B20" t="s">
        <v>54</v>
      </c>
      <c r="C20" s="6" t="s">
        <v>9</v>
      </c>
      <c r="D20" s="8">
        <v>1</v>
      </c>
      <c r="E20" s="16"/>
      <c r="F20" s="5">
        <v>17</v>
      </c>
      <c r="G20" t="s">
        <v>57</v>
      </c>
    </row>
    <row r="21" spans="1:10" x14ac:dyDescent="0.25">
      <c r="A21" s="15"/>
      <c r="B21" t="s">
        <v>55</v>
      </c>
      <c r="C21" s="6" t="s">
        <v>9</v>
      </c>
      <c r="D21" s="8">
        <v>1</v>
      </c>
      <c r="E21" s="16"/>
      <c r="F21" s="5">
        <v>18</v>
      </c>
      <c r="G21" t="s">
        <v>56</v>
      </c>
    </row>
    <row r="22" spans="1:10" ht="17.25" thickBot="1" x14ac:dyDescent="0.3">
      <c r="A22" s="15"/>
      <c r="B22" t="s">
        <v>58</v>
      </c>
      <c r="C22" s="6" t="s">
        <v>8</v>
      </c>
      <c r="D22" s="8">
        <v>1</v>
      </c>
      <c r="E22" s="16"/>
      <c r="F22" s="5">
        <v>19</v>
      </c>
    </row>
    <row r="23" spans="1:10" x14ac:dyDescent="0.25">
      <c r="A23" s="10"/>
      <c r="B23" s="11" t="s">
        <v>52</v>
      </c>
      <c r="C23" s="12" t="s">
        <v>9</v>
      </c>
      <c r="D23" s="13">
        <v>1</v>
      </c>
      <c r="E23" s="14">
        <f>SUM(D23:D26)</f>
        <v>6</v>
      </c>
      <c r="F23" s="7">
        <v>20</v>
      </c>
      <c r="J23"/>
    </row>
    <row r="24" spans="1:10" x14ac:dyDescent="0.25">
      <c r="A24" s="15"/>
      <c r="B24" t="s">
        <v>53</v>
      </c>
      <c r="C24" s="6" t="s">
        <v>9</v>
      </c>
      <c r="D24" s="8">
        <v>1</v>
      </c>
      <c r="E24" s="16">
        <v>0</v>
      </c>
      <c r="F24" s="7">
        <v>21</v>
      </c>
      <c r="J24"/>
    </row>
    <row r="25" spans="1:10" x14ac:dyDescent="0.25">
      <c r="A25" s="15"/>
      <c r="B25" t="s">
        <v>34</v>
      </c>
      <c r="C25" s="6" t="s">
        <v>30</v>
      </c>
      <c r="D25" s="8">
        <v>2</v>
      </c>
      <c r="E25" s="16"/>
      <c r="F25" s="7">
        <v>22</v>
      </c>
      <c r="G25" t="s">
        <v>37</v>
      </c>
    </row>
    <row r="26" spans="1:10" ht="17.25" thickBot="1" x14ac:dyDescent="0.3">
      <c r="A26" s="17"/>
      <c r="B26" s="18" t="s">
        <v>35</v>
      </c>
      <c r="C26" s="19" t="s">
        <v>30</v>
      </c>
      <c r="D26" s="20">
        <v>2</v>
      </c>
      <c r="E26" s="21"/>
      <c r="F26" s="7">
        <v>24</v>
      </c>
      <c r="G26" t="s">
        <v>38</v>
      </c>
    </row>
    <row r="27" spans="1:10" x14ac:dyDescent="0.25">
      <c r="D27" s="8" t="str">
        <f t="shared" ref="D27:D47" si="0">IF(0&lt;LEN(C27),IF("TR" = RIGHT(C27,2), "", IF("16" = RIGHT(C27,2), 1, IF("32" = RIGHT(C27, 2), 2, 4))), "")</f>
        <v/>
      </c>
      <c r="E27" s="8"/>
    </row>
    <row r="28" spans="1:10" x14ac:dyDescent="0.25">
      <c r="D28" s="8" t="str">
        <f t="shared" si="0"/>
        <v/>
      </c>
      <c r="E28" s="8"/>
    </row>
    <row r="29" spans="1:10" x14ac:dyDescent="0.25">
      <c r="D29" s="8" t="str">
        <f t="shared" si="0"/>
        <v/>
      </c>
      <c r="E29" s="8"/>
    </row>
    <row r="30" spans="1:10" x14ac:dyDescent="0.25">
      <c r="D30" s="8" t="str">
        <f t="shared" si="0"/>
        <v/>
      </c>
      <c r="E30" s="8"/>
    </row>
    <row r="31" spans="1:10" x14ac:dyDescent="0.25">
      <c r="D31" s="8" t="str">
        <f t="shared" si="0"/>
        <v/>
      </c>
      <c r="E31" s="8"/>
    </row>
    <row r="32" spans="1:10" x14ac:dyDescent="0.25">
      <c r="D32" s="8" t="str">
        <f t="shared" si="0"/>
        <v/>
      </c>
      <c r="E32" s="8"/>
    </row>
    <row r="33" spans="4:5" x14ac:dyDescent="0.25">
      <c r="D33" s="8" t="str">
        <f t="shared" si="0"/>
        <v/>
      </c>
      <c r="E33" s="8"/>
    </row>
    <row r="34" spans="4:5" x14ac:dyDescent="0.25">
      <c r="D34" s="8" t="str">
        <f t="shared" si="0"/>
        <v/>
      </c>
      <c r="E34" s="8"/>
    </row>
    <row r="35" spans="4:5" x14ac:dyDescent="0.25">
      <c r="D35" s="8" t="str">
        <f t="shared" si="0"/>
        <v/>
      </c>
      <c r="E35" s="8"/>
    </row>
    <row r="36" spans="4:5" x14ac:dyDescent="0.25">
      <c r="D36" s="8" t="str">
        <f t="shared" si="0"/>
        <v/>
      </c>
      <c r="E36" s="8"/>
    </row>
    <row r="37" spans="4:5" x14ac:dyDescent="0.25">
      <c r="D37" s="8" t="str">
        <f t="shared" si="0"/>
        <v/>
      </c>
      <c r="E37" s="8"/>
    </row>
    <row r="38" spans="4:5" x14ac:dyDescent="0.25">
      <c r="D38" s="8" t="str">
        <f t="shared" si="0"/>
        <v/>
      </c>
      <c r="E38" s="8"/>
    </row>
    <row r="39" spans="4:5" x14ac:dyDescent="0.25">
      <c r="D39" s="8" t="str">
        <f t="shared" si="0"/>
        <v/>
      </c>
      <c r="E39" s="8"/>
    </row>
    <row r="40" spans="4:5" x14ac:dyDescent="0.25">
      <c r="D40" s="8" t="str">
        <f t="shared" si="0"/>
        <v/>
      </c>
      <c r="E40" s="8"/>
    </row>
    <row r="41" spans="4:5" x14ac:dyDescent="0.25">
      <c r="D41" s="8" t="str">
        <f t="shared" si="0"/>
        <v/>
      </c>
      <c r="E41" s="8"/>
    </row>
    <row r="42" spans="4:5" x14ac:dyDescent="0.25">
      <c r="D42" s="8" t="str">
        <f t="shared" si="0"/>
        <v/>
      </c>
      <c r="E42" s="8"/>
    </row>
    <row r="43" spans="4:5" x14ac:dyDescent="0.25">
      <c r="D43" s="8" t="str">
        <f t="shared" si="0"/>
        <v/>
      </c>
      <c r="E43" s="8"/>
    </row>
    <row r="44" spans="4:5" x14ac:dyDescent="0.25">
      <c r="D44" s="8" t="str">
        <f t="shared" si="0"/>
        <v/>
      </c>
      <c r="E44" s="8"/>
    </row>
    <row r="45" spans="4:5" x14ac:dyDescent="0.25">
      <c r="D45" s="8" t="str">
        <f t="shared" si="0"/>
        <v/>
      </c>
      <c r="E45" s="8"/>
    </row>
    <row r="46" spans="4:5" x14ac:dyDescent="0.25">
      <c r="D46" s="8" t="str">
        <f t="shared" si="0"/>
        <v/>
      </c>
      <c r="E46" s="8"/>
    </row>
    <row r="47" spans="4:5" x14ac:dyDescent="0.25">
      <c r="D47" s="8" t="str">
        <f t="shared" si="0"/>
        <v/>
      </c>
      <c r="E47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1</xdr:col>
                <xdr:colOff>0</xdr:colOff>
                <xdr:row>0</xdr:row>
                <xdr:rowOff>200025</xdr:rowOff>
              </from>
              <to>
                <xdr:col>1</xdr:col>
                <xdr:colOff>1590675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Typedef!$A$2:$A$30</xm:f>
          </x14:formula1>
          <xm:sqref>C25:C26</xm:sqref>
        </x14:dataValidation>
        <x14:dataValidation type="list" allowBlank="1" showInputMessage="1" showErrorMessage="1">
          <x14:formula1>
            <xm:f>Typedef!$A$2:$A$20</xm:f>
          </x14:formula1>
          <xm:sqref>C18:C22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18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19</v>
      </c>
    </row>
    <row r="9" spans="1:2" x14ac:dyDescent="0.25">
      <c r="A9" t="s">
        <v>15</v>
      </c>
      <c r="B9" s="2" t="s">
        <v>20</v>
      </c>
    </row>
    <row r="10" spans="1:2" x14ac:dyDescent="0.25">
      <c r="A10" t="s">
        <v>17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陳彥百</cp:lastModifiedBy>
  <dcterms:created xsi:type="dcterms:W3CDTF">2020-09-30T01:47:31Z</dcterms:created>
  <dcterms:modified xsi:type="dcterms:W3CDTF">2026-01-29T09:27:27Z</dcterms:modified>
</cp:coreProperties>
</file>